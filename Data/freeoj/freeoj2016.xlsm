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freeoj\Decisions\"/>
    </mc:Choice>
  </mc:AlternateContent>
  <bookViews>
    <workbookView xWindow="0" yWindow="45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E29" i="7" l="1"/>
  <c r="D29" i="7"/>
  <c r="C29" i="7"/>
  <c r="D19" i="7"/>
  <c r="F11" i="7"/>
  <c r="F10" i="7"/>
  <c r="F9" i="7"/>
  <c r="F8" i="7"/>
  <c r="F7" i="7"/>
  <c r="F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<sst xmlns="http://schemas.openxmlformats.org/spreadsheetml/2006/main" count="418" uniqueCount="166">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</sst>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tabSelected="1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84" t="s">
        <v>165</v>
      </c>
      <c r="E4" s="85"/>
      <c r="F4" s="86"/>
    </row>
    <row r="5" spans="2:6" x14ac:dyDescent="0.2">
      <c r="B5" s="6"/>
      <c r="C5" s="7" t="s">
        <v>111</v>
      </c>
      <c r="D5" s="87">
        <v>2016</v>
      </c>
      <c r="E5" s="88"/>
      <c r="F5" s="89"/>
    </row>
    <row r="6" spans="2:6" x14ac:dyDescent="0.2">
      <c r="B6" s="3"/>
      <c r="C6" s="3"/>
      <c r="D6" s="3"/>
      <c r="E6" s="3"/>
      <c r="F6" s="3"/>
    </row>
  </sheetData>
  <sheetProtection algorithmName="SHA-512" hashValue="WHuzXI7pxgbpl21v/8T0qNuKQreYZ7ZrHlL0W8OTgyPbES2zf5ILvOt/dkOCJWSJdtvGqLDODFgaJclNhgNIuQ==" saltValue="opM1fGTSXkMoK39om9sh/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0"/>
      <c r="D6" s="15">
        <v>0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0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90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90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0"/>
      <c r="D10" s="15">
        <v>0</v>
      </c>
      <c r="E10" s="15"/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90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0"/>
      <c r="D12" s="15">
        <v>3748</v>
      </c>
      <c r="E12" s="15"/>
      <c r="F12" s="15" t="s">
        <v>6</v>
      </c>
      <c r="G12" s="15">
        <f t="shared" si="0"/>
        <v>3748</v>
      </c>
      <c r="H12" s="17" t="str">
        <f t="shared" si="1"/>
        <v/>
      </c>
    </row>
    <row r="13" spans="2:8" x14ac:dyDescent="0.2">
      <c r="B13" s="14" t="s">
        <v>13</v>
      </c>
      <c r="C13" s="90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0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90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1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91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91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91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1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91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1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91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1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91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90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90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90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90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90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90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90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90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90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90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90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90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90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90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90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90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90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90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90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90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90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90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90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90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90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91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91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91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91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91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91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91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91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91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91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91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91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91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91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91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91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91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91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91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91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91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91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91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91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91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91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91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91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91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91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91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91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91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91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91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91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91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91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91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91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91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91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91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91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91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91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pZ/t39xQh4jKwZWT7qTJ5tju6uXTSwVPNnfiTyVcMAQ3xO2vaWTsLZlpCQ2zwzaFQ36qMWp4VL3pvMU3KAUNlA==" saltValue="2vg8YFHzVSXxDJZzQYCX7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2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2:14" x14ac:dyDescent="0.2">
      <c r="B7" s="36" t="s">
        <v>105</v>
      </c>
      <c r="C7" s="94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2:14" x14ac:dyDescent="0.2">
      <c r="B8" s="36" t="s">
        <v>106</v>
      </c>
      <c r="C8" s="94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</row>
    <row r="9" spans="2:14" x14ac:dyDescent="0.2">
      <c r="B9" s="36" t="s">
        <v>107</v>
      </c>
      <c r="C9" s="94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</row>
    <row r="10" spans="2:14" x14ac:dyDescent="0.2">
      <c r="B10" s="36" t="s">
        <v>108</v>
      </c>
      <c r="C10" s="94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</row>
    <row r="11" spans="2:14" x14ac:dyDescent="0.2">
      <c r="B11" s="37" t="s">
        <v>109</v>
      </c>
      <c r="C11" s="94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6"/>
      <c r="D17" s="96"/>
      <c r="E17" s="96"/>
      <c r="F17" s="96"/>
      <c r="G17" s="96"/>
      <c r="H17" s="96"/>
      <c r="I17" s="29" t="s">
        <v>110</v>
      </c>
    </row>
    <row r="18" spans="2:33" x14ac:dyDescent="0.2">
      <c r="B18" s="36" t="s">
        <v>105</v>
      </c>
      <c r="C18" s="97"/>
      <c r="D18" s="97"/>
      <c r="E18" s="97"/>
      <c r="F18" s="97"/>
      <c r="G18" s="97"/>
      <c r="H18" s="97"/>
      <c r="I18" s="29" t="s">
        <v>110</v>
      </c>
    </row>
    <row r="19" spans="2:33" x14ac:dyDescent="0.2">
      <c r="B19" s="36" t="s">
        <v>106</v>
      </c>
      <c r="C19" s="97"/>
      <c r="D19" s="97"/>
      <c r="E19" s="97"/>
      <c r="F19" s="97"/>
      <c r="G19" s="97"/>
      <c r="H19" s="97"/>
      <c r="I19" s="29" t="s">
        <v>110</v>
      </c>
    </row>
    <row r="20" spans="2:33" x14ac:dyDescent="0.2">
      <c r="B20" s="36" t="s">
        <v>107</v>
      </c>
      <c r="C20" s="97"/>
      <c r="D20" s="97"/>
      <c r="E20" s="97"/>
      <c r="F20" s="97"/>
      <c r="G20" s="97"/>
      <c r="H20" s="97"/>
    </row>
    <row r="21" spans="2:33" x14ac:dyDescent="0.2">
      <c r="B21" s="36" t="s">
        <v>108</v>
      </c>
      <c r="C21" s="97"/>
      <c r="D21" s="97"/>
      <c r="E21" s="97"/>
      <c r="F21" s="97"/>
      <c r="G21" s="97"/>
      <c r="H21" s="97"/>
    </row>
    <row r="22" spans="2:33" x14ac:dyDescent="0.2">
      <c r="B22" s="37" t="s">
        <v>109</v>
      </c>
      <c r="C22" s="97"/>
      <c r="D22" s="97"/>
      <c r="E22" s="97"/>
      <c r="F22" s="97"/>
      <c r="G22" s="97"/>
      <c r="H22" s="97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95"/>
      <c r="P31" s="63">
        <f>O31+M31+K31+I31+G31</f>
        <v>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95"/>
      <c r="P32" s="63">
        <f>O32+M32+K32+I32</f>
        <v>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95"/>
      <c r="P33" s="63">
        <f>O33+M33+K33</f>
        <v>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95"/>
      <c r="P34" s="63">
        <f>O34+M34</f>
        <v>0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95"/>
      <c r="P35" s="65">
        <f>O35</f>
        <v>0</v>
      </c>
    </row>
    <row r="36" spans="2:17" x14ac:dyDescent="0.2">
      <c r="B36" s="41" t="s">
        <v>113</v>
      </c>
      <c r="C36" s="36">
        <f>basic_info!$D$5</f>
        <v>2016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95"/>
      <c r="P37" s="63">
        <f>O37+M37+K37+I37+G37</f>
        <v>0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95"/>
      <c r="P38" s="63">
        <f>O38+M38+K38+I38</f>
        <v>0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95"/>
      <c r="P39" s="63">
        <f>O39+M39+K39</f>
        <v>0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95"/>
      <c r="P40" s="63">
        <f>O40+M40</f>
        <v>0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95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33">
        <f>SUM(C47:N47)</f>
        <v>0</v>
      </c>
    </row>
    <row r="48" spans="2:17" x14ac:dyDescent="0.2">
      <c r="B48" s="37" t="s">
        <v>113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jglpSIO2+j2lpwlyG8YFH+6f62cAvRM/oqWXavHo5G1KYhrv1r+mdhvMR9l/S5jajbsz+wUpJ6KHx4ZwkyW4TQ==" saltValue="KZLTaoWaR/08b/sg/5HhF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/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9"/>
      <c r="D6" s="99"/>
      <c r="E6" s="99"/>
      <c r="F6" s="103">
        <f>SUM($C$6:$E$6)</f>
        <v>0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9"/>
      <c r="D7" s="99"/>
      <c r="E7" s="99"/>
      <c r="F7" s="103">
        <f>SUM($C$7:$E$7)</f>
        <v>0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9"/>
      <c r="D8" s="99"/>
      <c r="E8" s="99"/>
      <c r="F8" s="103">
        <f>SUM($C$8:$E$8)</f>
        <v>0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9"/>
      <c r="D9" s="99"/>
      <c r="E9" s="99"/>
      <c r="F9" s="103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9"/>
      <c r="D10" s="99"/>
      <c r="E10" s="99"/>
      <c r="F10" s="103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100"/>
      <c r="D11" s="100"/>
      <c r="E11" s="100"/>
      <c r="F11" s="102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100"/>
      <c r="D19" s="33">
        <f>100-$C$19</f>
        <v>100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9"/>
      <c r="D27" s="99"/>
      <c r="E27" s="101"/>
      <c r="L27" s="50"/>
      <c r="M27" s="50"/>
      <c r="N27" s="50"/>
    </row>
    <row r="28" spans="2:14" x14ac:dyDescent="0.2">
      <c r="B28" s="45" t="s">
        <v>59</v>
      </c>
      <c r="C28" s="99"/>
      <c r="D28" s="99"/>
      <c r="E28" s="101"/>
      <c r="L28" s="50"/>
      <c r="M28" s="50"/>
      <c r="N28" s="50"/>
    </row>
    <row r="29" spans="2:14" x14ac:dyDescent="0.2">
      <c r="B29" s="45" t="s">
        <v>150</v>
      </c>
      <c r="C29" s="104">
        <f>SUM($C$27:$C$28)</f>
        <v>0</v>
      </c>
      <c r="D29" s="104">
        <f>SUM($D$27:$D$28)</f>
        <v>0</v>
      </c>
      <c r="E29" s="102">
        <f>SUM($E$27:$E$28)</f>
        <v>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1"/>
    </row>
    <row r="37" spans="2:14" x14ac:dyDescent="0.2">
      <c r="B37" s="45" t="s">
        <v>59</v>
      </c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95"/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M4S5YmyzJHoKP421FDXypvPWT5CizebBJWa9DOgItyDd2NIjT761LyBFEe/bpc2nc2LyS+5awF3qkU9c/WTL+A==" saltValue="F8aD2Zgke7CArXurUPhzZ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</row>
    <row r="7" spans="2:15" x14ac:dyDescent="0.2">
      <c r="C7" s="36" t="s">
        <v>127</v>
      </c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</row>
    <row r="8" spans="2:15" x14ac:dyDescent="0.2">
      <c r="C8" s="36" t="s">
        <v>128</v>
      </c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</row>
    <row r="9" spans="2:15" x14ac:dyDescent="0.2">
      <c r="C9" s="36" t="s">
        <v>129</v>
      </c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</row>
    <row r="10" spans="2:15" x14ac:dyDescent="0.2">
      <c r="C10" s="36" t="s">
        <v>130</v>
      </c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2:15" x14ac:dyDescent="0.2">
      <c r="C11" s="36" t="s">
        <v>131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</row>
    <row r="12" spans="2:15" x14ac:dyDescent="0.2">
      <c r="C12" s="37" t="s">
        <v>132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2:15" x14ac:dyDescent="0.2">
      <c r="C16" s="36" t="s">
        <v>127</v>
      </c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</row>
    <row r="17" spans="2:15" x14ac:dyDescent="0.2">
      <c r="C17" s="36" t="s">
        <v>128</v>
      </c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</row>
    <row r="18" spans="2:15" x14ac:dyDescent="0.2">
      <c r="C18" s="36" t="s">
        <v>129</v>
      </c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</row>
    <row r="19" spans="2:15" x14ac:dyDescent="0.2">
      <c r="C19" s="36" t="s">
        <v>130</v>
      </c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</row>
    <row r="20" spans="2:15" x14ac:dyDescent="0.2">
      <c r="C20" s="36" t="s">
        <v>131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</row>
    <row r="21" spans="2:15" x14ac:dyDescent="0.2">
      <c r="C21" s="37" t="s">
        <v>132</v>
      </c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</row>
    <row r="25" spans="2:15" x14ac:dyDescent="0.2">
      <c r="C25" s="36" t="s">
        <v>127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</row>
    <row r="26" spans="2:15" x14ac:dyDescent="0.2">
      <c r="C26" s="36" t="s">
        <v>128</v>
      </c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</row>
    <row r="27" spans="2:15" x14ac:dyDescent="0.2">
      <c r="C27" s="36" t="s">
        <v>129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</row>
    <row r="28" spans="2:15" x14ac:dyDescent="0.2">
      <c r="C28" s="36" t="s">
        <v>130</v>
      </c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</row>
    <row r="29" spans="2:15" x14ac:dyDescent="0.2">
      <c r="C29" s="36" t="s">
        <v>131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</row>
    <row r="30" spans="2:15" x14ac:dyDescent="0.2">
      <c r="C30" s="37" t="s">
        <v>132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</row>
    <row r="34" spans="3:15" x14ac:dyDescent="0.2">
      <c r="C34" s="36" t="s">
        <v>127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</row>
    <row r="35" spans="3:15" x14ac:dyDescent="0.2">
      <c r="C35" s="36" t="s">
        <v>128</v>
      </c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</row>
    <row r="36" spans="3:15" x14ac:dyDescent="0.2">
      <c r="C36" s="36" t="s">
        <v>129</v>
      </c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</row>
    <row r="37" spans="3:15" x14ac:dyDescent="0.2">
      <c r="C37" s="36" t="s">
        <v>130</v>
      </c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</row>
    <row r="38" spans="3:15" x14ac:dyDescent="0.2">
      <c r="C38" s="36" t="s">
        <v>131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</row>
    <row r="39" spans="3:15" x14ac:dyDescent="0.2">
      <c r="C39" s="37" t="s">
        <v>132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s8h9ENwgzyRts2SB+7ThYRXFYRCfMWVSpflt2znEryW05OtmtjFHBMrfZXo3D2OzQ/pUR5wx5X6J1lQgPDPo1A==" saltValue="eM8vfALSrkEaOrr7/9xang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2016-10-17T21:15:35Z</dcterms:modified>
</cp:coreProperties>
</file>